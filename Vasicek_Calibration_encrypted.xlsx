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Python Learning\Interest Rate Models\Vasicek\"/>
    </mc:Choice>
  </mc:AlternateContent>
  <bookViews>
    <workbookView xWindow="0" yWindow="0" windowWidth="15345" windowHeight="4635"/>
  </bookViews>
  <sheets>
    <sheet name="1" sheetId="1" r:id="rId1"/>
  </sheets>
  <definedNames>
    <definedName name="solver_adj" localSheetId="0" hidden="1">'1'!$C$12:$C$14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'1'!$C$12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'1'!$F$12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E22" i="1" s="1"/>
  <c r="G22" i="1" s="1"/>
  <c r="F23" i="1"/>
  <c r="E23" i="1" s="1"/>
  <c r="G23" i="1" s="1"/>
  <c r="F24" i="1"/>
  <c r="E24" i="1" s="1"/>
  <c r="G24" i="1" s="1"/>
  <c r="F25" i="1"/>
  <c r="E25" i="1" s="1"/>
  <c r="G25" i="1" s="1"/>
  <c r="F26" i="1"/>
  <c r="E26" i="1" s="1"/>
  <c r="G26" i="1" s="1"/>
  <c r="F27" i="1"/>
  <c r="E27" i="1" s="1"/>
  <c r="G27" i="1" s="1"/>
  <c r="F28" i="1"/>
  <c r="E28" i="1" s="1"/>
  <c r="G28" i="1" s="1"/>
  <c r="F29" i="1"/>
  <c r="E29" i="1" s="1"/>
  <c r="G29" i="1" s="1"/>
  <c r="F30" i="1"/>
  <c r="E30" i="1" s="1"/>
  <c r="G30" i="1" s="1"/>
  <c r="F31" i="1"/>
  <c r="E31" i="1" s="1"/>
  <c r="G31" i="1" s="1"/>
  <c r="F32" i="1"/>
  <c r="E32" i="1" s="1"/>
  <c r="G32" i="1" s="1"/>
  <c r="F33" i="1"/>
  <c r="E33" i="1" s="1"/>
  <c r="G33" i="1" s="1"/>
  <c r="F34" i="1"/>
  <c r="E34" i="1" s="1"/>
  <c r="G34" i="1" s="1"/>
  <c r="F35" i="1"/>
  <c r="E35" i="1" s="1"/>
  <c r="G35" i="1" s="1"/>
  <c r="F36" i="1"/>
  <c r="E36" i="1" s="1"/>
  <c r="G36" i="1" s="1"/>
  <c r="F37" i="1"/>
  <c r="E37" i="1" s="1"/>
  <c r="G37" i="1" s="1"/>
  <c r="F38" i="1"/>
  <c r="E38" i="1" s="1"/>
  <c r="G38" i="1" s="1"/>
  <c r="F39" i="1"/>
  <c r="E39" i="1" s="1"/>
  <c r="G39" i="1" s="1"/>
  <c r="F40" i="1"/>
  <c r="E40" i="1" s="1"/>
  <c r="G40" i="1" s="1"/>
  <c r="F41" i="1"/>
  <c r="E41" i="1" s="1"/>
  <c r="G41" i="1" s="1"/>
  <c r="F42" i="1"/>
  <c r="E42" i="1" s="1"/>
  <c r="G42" i="1" s="1"/>
  <c r="F43" i="1"/>
  <c r="E43" i="1" s="1"/>
  <c r="G43" i="1" s="1"/>
  <c r="F44" i="1"/>
  <c r="E44" i="1" s="1"/>
  <c r="G44" i="1" s="1"/>
  <c r="F45" i="1"/>
  <c r="E45" i="1" s="1"/>
  <c r="G45" i="1" s="1"/>
  <c r="F46" i="1"/>
  <c r="E46" i="1" s="1"/>
  <c r="G46" i="1" s="1"/>
  <c r="F47" i="1"/>
  <c r="E47" i="1" s="1"/>
  <c r="G47" i="1" s="1"/>
  <c r="F48" i="1"/>
  <c r="E48" i="1" s="1"/>
  <c r="G48" i="1" s="1"/>
  <c r="F49" i="1"/>
  <c r="E49" i="1" s="1"/>
  <c r="G49" i="1" s="1"/>
  <c r="F50" i="1"/>
  <c r="E50" i="1" s="1"/>
  <c r="G50" i="1" s="1"/>
  <c r="F21" i="1"/>
  <c r="E21" i="1" s="1"/>
  <c r="G21" i="1" s="1"/>
  <c r="C15" i="1"/>
  <c r="H47" i="1" l="1"/>
  <c r="I47" i="1"/>
  <c r="H42" i="1"/>
  <c r="I42" i="1"/>
  <c r="H34" i="1"/>
  <c r="I34" i="1"/>
  <c r="I30" i="1"/>
  <c r="H30" i="1"/>
  <c r="H26" i="1"/>
  <c r="I26" i="1"/>
  <c r="I22" i="1"/>
  <c r="H22" i="1"/>
  <c r="I36" i="1"/>
  <c r="H36" i="1"/>
  <c r="I50" i="1"/>
  <c r="H50" i="1"/>
  <c r="H46" i="1"/>
  <c r="I46" i="1"/>
  <c r="H49" i="1"/>
  <c r="I49" i="1"/>
  <c r="H41" i="1"/>
  <c r="I41" i="1"/>
  <c r="H33" i="1"/>
  <c r="I33" i="1"/>
  <c r="H25" i="1"/>
  <c r="I25" i="1"/>
  <c r="H32" i="1"/>
  <c r="I32" i="1"/>
  <c r="I21" i="1"/>
  <c r="H21" i="1"/>
  <c r="I38" i="1"/>
  <c r="H38" i="1"/>
  <c r="H45" i="1"/>
  <c r="I45" i="1"/>
  <c r="I37" i="1"/>
  <c r="H37" i="1"/>
  <c r="H29" i="1"/>
  <c r="I29" i="1"/>
  <c r="I48" i="1"/>
  <c r="H48" i="1"/>
  <c r="H44" i="1"/>
  <c r="I44" i="1"/>
  <c r="I28" i="1"/>
  <c r="H28" i="1"/>
  <c r="I43" i="1"/>
  <c r="H43" i="1"/>
  <c r="H39" i="1"/>
  <c r="I39" i="1"/>
  <c r="I35" i="1"/>
  <c r="H35" i="1"/>
  <c r="H31" i="1"/>
  <c r="I31" i="1"/>
  <c r="I27" i="1"/>
  <c r="H27" i="1"/>
  <c r="H23" i="1"/>
  <c r="I23" i="1"/>
  <c r="H40" i="1"/>
  <c r="I40" i="1"/>
  <c r="H24" i="1"/>
  <c r="I24" i="1"/>
  <c r="F12" i="1" l="1"/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21" i="1"/>
</calcChain>
</file>

<file path=xl/sharedStrings.xml><?xml version="1.0" encoding="utf-8"?>
<sst xmlns="http://schemas.openxmlformats.org/spreadsheetml/2006/main" count="20" uniqueCount="20">
  <si>
    <t>Calibration</t>
  </si>
  <si>
    <t>year</t>
  </si>
  <si>
    <t>spot rate</t>
  </si>
  <si>
    <t>A</t>
  </si>
  <si>
    <t>B</t>
  </si>
  <si>
    <t>error</t>
  </si>
  <si>
    <t>vasicek spot</t>
  </si>
  <si>
    <t>today</t>
  </si>
  <si>
    <t>Calibration refers to finding the parameters such that model price match market price</t>
  </si>
  <si>
    <t>K</t>
  </si>
  <si>
    <t>r(0)</t>
  </si>
  <si>
    <t>Minimise SSE</t>
  </si>
  <si>
    <r>
      <t>P(0,T)</t>
    </r>
    <r>
      <rPr>
        <b/>
        <sz val="8"/>
        <color theme="1"/>
        <rFont val="Calibri"/>
        <family val="2"/>
        <scheme val="minor"/>
      </rPr>
      <t>obs</t>
    </r>
  </si>
  <si>
    <r>
      <t>P(0,T)</t>
    </r>
    <r>
      <rPr>
        <b/>
        <sz val="8"/>
        <color theme="1"/>
        <rFont val="Calibri"/>
        <family val="2"/>
        <scheme val="minor"/>
      </rPr>
      <t>model</t>
    </r>
  </si>
  <si>
    <t>Observation</t>
  </si>
  <si>
    <t>1. Model does not fit  very well t the observed term structure du to the limited flexibility.</t>
  </si>
  <si>
    <t>2. Even if it can be made the TS on a given day, same model won't do good for another day</t>
  </si>
  <si>
    <t>We can calibrate, but in that case parameter will be time varrying which is not the model dynamics</t>
  </si>
  <si>
    <t>3. This is an equillibrium model, parameter should come from economic research,demand and supply,investor preference and utility theory.</t>
  </si>
  <si>
    <t>4. The model will give a theoritical TS as output which maybe used to perform arbitrage between simple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</si>
</sst>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right" vertical="top" wrapText="1"/>
    </xf>
    <xf numFmtId="0" fontId="0" fillId="0" borderId="0" xfId="0" applyFill="1" applyBorder="1"/>
    <xf numFmtId="0" fontId="4" fillId="0" borderId="0" xfId="0" applyFont="1"/>
    <xf numFmtId="9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2" xfId="0" applyBorder="1"/>
    <xf numFmtId="10" fontId="0" fillId="0" borderId="2" xfId="1" applyNumberFormat="1" applyFont="1" applyBorder="1"/>
    <xf numFmtId="164" fontId="0" fillId="0" borderId="2" xfId="1" applyNumberFormat="1" applyFont="1" applyBorder="1"/>
    <xf numFmtId="0" fontId="2" fillId="2" borderId="2" xfId="0" applyFont="1" applyFill="1" applyBorder="1"/>
    <xf numFmtId="0" fontId="2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'1'!$C$20</c:f>
              <c:strCache>
                <c:ptCount val="1"/>
                <c:pt idx="0">
                  <c:v>spot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'1'!$B$21:$B$50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'1'!$C$21:$C$50</c:f>
              <c:numCache>
                <c:formatCode>0.00%</c:formatCode>
                <c:ptCount val="30"/>
                <c:pt idx="0">
                  <c:v>3.5131000000000003E-2</c:v>
                </c:pt>
                <c:pt idx="1">
                  <c:v>3.4816E-2</c:v>
                </c:pt>
                <c:pt idx="2">
                  <c:v>3.5105999999999998E-2</c:v>
                </c:pt>
                <c:pt idx="3">
                  <c:v>3.5785999999999998E-2</c:v>
                </c:pt>
                <c:pt idx="4">
                  <c:v>3.6707000000000004E-2</c:v>
                </c:pt>
                <c:pt idx="5">
                  <c:v>3.7762999999999998E-2</c:v>
                </c:pt>
                <c:pt idx="6">
                  <c:v>3.8882E-2</c:v>
                </c:pt>
                <c:pt idx="7">
                  <c:v>4.0014000000000001E-2</c:v>
                </c:pt>
                <c:pt idx="8">
                  <c:v>4.1124999999999995E-2</c:v>
                </c:pt>
                <c:pt idx="9">
                  <c:v>4.2192999999999994E-2</c:v>
                </c:pt>
                <c:pt idx="10">
                  <c:v>4.3202999999999998E-2</c:v>
                </c:pt>
                <c:pt idx="11">
                  <c:v>4.4145999999999998E-2</c:v>
                </c:pt>
                <c:pt idx="12">
                  <c:v>4.5016E-2</c:v>
                </c:pt>
                <c:pt idx="13">
                  <c:v>4.5811999999999999E-2</c:v>
                </c:pt>
                <c:pt idx="14">
                  <c:v>4.6531999999999997E-2</c:v>
                </c:pt>
                <c:pt idx="15">
                  <c:v>4.718E-2</c:v>
                </c:pt>
                <c:pt idx="16">
                  <c:v>4.7754999999999999E-2</c:v>
                </c:pt>
                <c:pt idx="17">
                  <c:v>4.8261999999999999E-2</c:v>
                </c:pt>
                <c:pt idx="18">
                  <c:v>4.8703000000000003E-2</c:v>
                </c:pt>
                <c:pt idx="19">
                  <c:v>4.9082000000000001E-2</c:v>
                </c:pt>
                <c:pt idx="20">
                  <c:v>4.9401E-2</c:v>
                </c:pt>
                <c:pt idx="21">
                  <c:v>4.9665000000000001E-2</c:v>
                </c:pt>
                <c:pt idx="22">
                  <c:v>4.9877000000000005E-2</c:v>
                </c:pt>
                <c:pt idx="23">
                  <c:v>5.0041000000000002E-2</c:v>
                </c:pt>
                <c:pt idx="24">
                  <c:v>5.0159000000000002E-2</c:v>
                </c:pt>
                <c:pt idx="25">
                  <c:v>5.0233999999999994E-2</c:v>
                </c:pt>
                <c:pt idx="26">
                  <c:v>5.0270999999999996E-2</c:v>
                </c:pt>
                <c:pt idx="27">
                  <c:v>5.0270999999999996E-2</c:v>
                </c:pt>
                <c:pt idx="28">
                  <c:v>5.0237999999999998E-2</c:v>
                </c:pt>
                <c:pt idx="29">
                  <c:v>5.0174000000000003E-2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'1'!$I$20</c:f>
              <c:strCache>
                <c:ptCount val="1"/>
                <c:pt idx="0">
                  <c:v>vasicek spot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'1'!$B$21:$B$50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'1'!$I$21:$I$50</c:f>
              <c:numCache>
                <c:formatCode>0.000%</c:formatCode>
                <c:ptCount val="30"/>
                <c:pt idx="0">
                  <c:v>3.6081509715380926E-2</c:v>
                </c:pt>
                <c:pt idx="1">
                  <c:v>3.6991331654763655E-2</c:v>
                </c:pt>
                <c:pt idx="2">
                  <c:v>3.78624209522943E-2</c:v>
                </c:pt>
                <c:pt idx="3">
                  <c:v>3.8696632639843735E-2</c:v>
                </c:pt>
                <c:pt idx="4">
                  <c:v>3.9495726982458741E-2</c:v>
                </c:pt>
                <c:pt idx="5">
                  <c:v>4.0261374521419209E-2</c:v>
                </c:pt>
                <c:pt idx="6">
                  <c:v>4.0995160841253722E-2</c:v>
                </c:pt>
                <c:pt idx="7">
                  <c:v>4.1698591076139983E-2</c:v>
                </c:pt>
                <c:pt idx="8">
                  <c:v>4.2373094170238067E-2</c:v>
                </c:pt>
                <c:pt idx="9">
                  <c:v>4.3020026905681151E-2</c:v>
                </c:pt>
                <c:pt idx="10">
                  <c:v>4.3640677711169452E-2</c:v>
                </c:pt>
                <c:pt idx="11">
                  <c:v>4.4236270263379791E-2</c:v>
                </c:pt>
                <c:pt idx="12">
                  <c:v>4.4807966892712943E-2</c:v>
                </c:pt>
                <c:pt idx="13">
                  <c:v>4.5356871804248432E-2</c:v>
                </c:pt>
                <c:pt idx="14">
                  <c:v>4.5884034124162316E-2</c:v>
                </c:pt>
                <c:pt idx="15">
                  <c:v>4.6390450781285564E-2</c:v>
                </c:pt>
                <c:pt idx="16">
                  <c:v>4.6877069232932757E-2</c:v>
                </c:pt>
                <c:pt idx="17">
                  <c:v>4.7344790043618377E-2</c:v>
                </c:pt>
                <c:pt idx="18">
                  <c:v>4.7794469324790798E-2</c:v>
                </c:pt>
                <c:pt idx="19">
                  <c:v>4.8226921043257862E-2</c:v>
                </c:pt>
                <c:pt idx="20">
                  <c:v>4.8642919205545497E-2</c:v>
                </c:pt>
                <c:pt idx="21">
                  <c:v>4.9043199925025101E-2</c:v>
                </c:pt>
                <c:pt idx="22">
                  <c:v>4.9428463378260332E-2</c:v>
                </c:pt>
                <c:pt idx="23">
                  <c:v>4.9799375656663647E-2</c:v>
                </c:pt>
                <c:pt idx="24">
                  <c:v>5.0156570519210686E-2</c:v>
                </c:pt>
                <c:pt idx="25">
                  <c:v>5.0500651051639069E-2</c:v>
                </c:pt>
                <c:pt idx="26">
                  <c:v>5.0832191237255048E-2</c:v>
                </c:pt>
                <c:pt idx="27">
                  <c:v>5.1151737444184393E-2</c:v>
                </c:pt>
                <c:pt idx="28">
                  <c:v>5.145980983363483E-2</c:v>
                </c:pt>
                <c:pt idx="29">
                  <c:v>5.1756903693481654E-2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45704"/>
        <c:axId val="414645312"/>
      </c:scatterChart>
      <c:valAx>
        <c:axId val="41464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45312"/>
        <c:crosses val="autoZero"/>
        <c:crossBetween val="midCat"/>
      </c:valAx>
      <c:valAx>
        <c:axId val="414645312"/>
        <c:scaling>
          <c:orientation val="minMax"/>
          <c:max val="6.5000000000000016E-2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45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4762</xdr:rowOff>
    </xdr:from>
    <xdr:ext cx="1153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609600" y="1576387"/>
              <a:ext cx="1153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n-US" sz="110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09600" y="1576387"/>
              <a:ext cx="1153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en-US" sz="110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9525</xdr:colOff>
      <xdr:row>12</xdr:row>
      <xdr:rowOff>157162</xdr:rowOff>
    </xdr:from>
    <xdr:ext cx="1178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619125" y="1728787"/>
              <a:ext cx="1178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619125" y="1728787"/>
              <a:ext cx="1178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10</xdr:col>
      <xdr:colOff>504825</xdr:colOff>
      <xdr:row>14</xdr:row>
      <xdr:rowOff>176212</xdr:rowOff>
    </xdr:from>
    <xdr:to>
      <xdr:col>18</xdr:col>
      <xdr:colOff>200025</xdr:colOff>
      <xdr:row>29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523875</xdr:colOff>
      <xdr:row>4</xdr:row>
      <xdr:rowOff>152400</xdr:rowOff>
    </xdr:from>
    <xdr:to>
      <xdr:col>6</xdr:col>
      <xdr:colOff>248155</xdr:colOff>
      <xdr:row>9</xdr:row>
      <xdr:rowOff>171586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962025"/>
          <a:ext cx="3620005" cy="971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O50"/>
  <sheetViews>
    <sheetView showGridLines="0" tabSelected="1" workbookViewId="0">
      <selection activeCell="J7" sqref="J7"/>
    </sheetView>
  </sheetViews>
  <sheetFormatPr defaultRowHeight="15" x14ac:dyDescent="0.25"/>
  <cols>
    <col min="5" max="5" width="12.7109375" bestFit="1" customWidth="1"/>
    <col min="7" max="7" width="11.85546875" bestFit="1" customWidth="1"/>
    <col min="9" max="9" width="11.7109375" bestFit="1" customWidth="1"/>
  </cols>
  <sheetData>
    <row r="3" spans="2:6" ht="18.75" x14ac:dyDescent="0.3">
      <c r="B3" s="4" t="s">
        <v>0</v>
      </c>
    </row>
    <row r="4" spans="2:6" x14ac:dyDescent="0.25">
      <c r="B4" t="s">
        <v>8</v>
      </c>
    </row>
    <row r="12" spans="2:6" x14ac:dyDescent="0.25">
      <c r="B12" t="s">
        <v>9</v>
      </c>
      <c r="C12">
        <v>6.5987409415802015E-2</v>
      </c>
      <c r="E12" t="s">
        <v>11</v>
      </c>
      <c r="F12">
        <f>SUMSQ(H21:H50)</f>
        <v>1.3129249759827228E-3</v>
      </c>
    </row>
    <row r="13" spans="2:6" x14ac:dyDescent="0.25">
      <c r="C13" s="5">
        <v>6.4576964532135461E-2</v>
      </c>
    </row>
    <row r="14" spans="2:6" x14ac:dyDescent="0.25">
      <c r="C14" s="7">
        <v>1.913028969759938E-5</v>
      </c>
    </row>
    <row r="15" spans="2:6" x14ac:dyDescent="0.25">
      <c r="B15" t="s">
        <v>10</v>
      </c>
      <c r="C15" s="6">
        <f>C21</f>
        <v>3.5131000000000003E-2</v>
      </c>
    </row>
    <row r="19" spans="2:41" x14ac:dyDescent="0.25">
      <c r="B19" s="12" t="s">
        <v>7</v>
      </c>
      <c r="C19" s="12"/>
    </row>
    <row r="20" spans="2:41" x14ac:dyDescent="0.25">
      <c r="B20" s="11" t="s">
        <v>1</v>
      </c>
      <c r="C20" s="11" t="s">
        <v>2</v>
      </c>
      <c r="D20" s="11" t="s">
        <v>12</v>
      </c>
      <c r="E20" s="11" t="s">
        <v>3</v>
      </c>
      <c r="F20" s="11" t="s">
        <v>4</v>
      </c>
      <c r="G20" s="11" t="s">
        <v>13</v>
      </c>
      <c r="H20" s="11" t="s">
        <v>5</v>
      </c>
      <c r="I20" s="11" t="s">
        <v>6</v>
      </c>
    </row>
    <row r="21" spans="2:41" s="3" customFormat="1" x14ac:dyDescent="0.25">
      <c r="B21" s="8">
        <v>1</v>
      </c>
      <c r="C21" s="9">
        <v>3.5131000000000003E-2</v>
      </c>
      <c r="D21" s="8">
        <f>EXP(-C21*B21)</f>
        <v>0.9654789302330522</v>
      </c>
      <c r="E21" s="8">
        <f>EXP((F21-B21-0)*($C$13-($C$14*$C$14)/(2*$C$12*$C$12))-(($C$14*$C$14*F21*F21)/(4*$C$12)))</f>
        <v>0.99791763984374326</v>
      </c>
      <c r="F21" s="8">
        <f>(1-EXP(-$C$12*(B21-0)))/$C$12</f>
        <v>0.96772020246066381</v>
      </c>
      <c r="G21" s="8">
        <f>E21*EXP(-$C$15*F21)</f>
        <v>0.96456166913172403</v>
      </c>
      <c r="H21" s="8">
        <f>D21-G21</f>
        <v>9.1726110132817062E-4</v>
      </c>
      <c r="I21" s="10">
        <f>-LN(G21)/B21</f>
        <v>3.6081509715380926E-2</v>
      </c>
      <c r="J21"/>
      <c r="K2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 x14ac:dyDescent="0.25">
      <c r="B22" s="8">
        <v>2</v>
      </c>
      <c r="C22" s="9">
        <v>3.4816E-2</v>
      </c>
      <c r="D22" s="8">
        <f t="shared" ref="D22:D50" si="0">EXP(-C22*B22)</f>
        <v>0.9327370039736691</v>
      </c>
      <c r="E22" s="8">
        <f t="shared" ref="E22:E50" si="1">EXP((F22-B22-0)*($C$13-($C$14*$C$14)/(2*$C$12*$C$12))-(($C$14*$C$14*F22*F22)/(4*$C$12)))</f>
        <v>0.99187353632458719</v>
      </c>
      <c r="F22" s="8">
        <f t="shared" ref="F22:F50" si="2">(1-EXP(-$C$12*(B22-0)))/$C$12</f>
        <v>1.8736443580251778</v>
      </c>
      <c r="G22" s="8">
        <f t="shared" ref="G22:G50" si="3">E22*EXP(-$C$15*F22)</f>
        <v>0.92868779407455604</v>
      </c>
      <c r="H22" s="8">
        <f t="shared" ref="H22:H50" si="4">D22-G22</f>
        <v>4.0492098991130598E-3</v>
      </c>
      <c r="I22" s="10">
        <f t="shared" ref="I22:I50" si="5">-LN(G22)/B22</f>
        <v>3.6991331654763655E-2</v>
      </c>
    </row>
    <row r="23" spans="2:41" x14ac:dyDescent="0.25">
      <c r="B23" s="8">
        <v>3</v>
      </c>
      <c r="C23" s="9">
        <v>3.5105999999999998E-2</v>
      </c>
      <c r="D23" s="8">
        <f t="shared" si="0"/>
        <v>0.90003826490546668</v>
      </c>
      <c r="E23" s="8">
        <f t="shared" si="1"/>
        <v>0.98218994095027867</v>
      </c>
      <c r="F23" s="8">
        <f t="shared" si="2"/>
        <v>2.721718598439351</v>
      </c>
      <c r="G23" s="8">
        <f t="shared" si="3"/>
        <v>0.89262629989144071</v>
      </c>
      <c r="H23" s="8">
        <f t="shared" si="4"/>
        <v>7.4119650140259674E-3</v>
      </c>
      <c r="I23" s="10">
        <f t="shared" si="5"/>
        <v>3.78624209522943E-2</v>
      </c>
    </row>
    <row r="24" spans="2:41" x14ac:dyDescent="0.25">
      <c r="B24" s="8">
        <v>4</v>
      </c>
      <c r="C24" s="9">
        <v>3.5785999999999998E-2</v>
      </c>
      <c r="D24" s="8">
        <f t="shared" si="0"/>
        <v>0.86662926529564288</v>
      </c>
      <c r="E24" s="8">
        <f t="shared" si="1"/>
        <v>0.96920543261750991</v>
      </c>
      <c r="F24" s="8">
        <f t="shared" si="2"/>
        <v>3.5156370659361147</v>
      </c>
      <c r="G24" s="8">
        <f t="shared" si="3"/>
        <v>0.85659801546696046</v>
      </c>
      <c r="H24" s="8">
        <f t="shared" si="4"/>
        <v>1.003124982868242E-2</v>
      </c>
      <c r="I24" s="10">
        <f t="shared" si="5"/>
        <v>3.8696632639843735E-2</v>
      </c>
    </row>
    <row r="25" spans="2:41" x14ac:dyDescent="0.25">
      <c r="B25" s="8">
        <v>5</v>
      </c>
      <c r="C25" s="9">
        <v>3.6707000000000004E-2</v>
      </c>
      <c r="D25" s="8">
        <f t="shared" si="0"/>
        <v>0.83232274393205341</v>
      </c>
      <c r="E25" s="8">
        <f t="shared" si="1"/>
        <v>0.95326657324599962</v>
      </c>
      <c r="F25" s="8">
        <f t="shared" si="2"/>
        <v>4.2588580046178359</v>
      </c>
      <c r="G25" s="8">
        <f t="shared" si="3"/>
        <v>0.82079767685474769</v>
      </c>
      <c r="H25" s="8">
        <f t="shared" si="4"/>
        <v>1.1525067077305717E-2</v>
      </c>
      <c r="I25" s="10">
        <f t="shared" si="5"/>
        <v>3.9495726982458741E-2</v>
      </c>
    </row>
    <row r="26" spans="2:41" x14ac:dyDescent="0.25">
      <c r="B26" s="8">
        <v>6</v>
      </c>
      <c r="C26" s="9">
        <v>3.7762999999999998E-2</v>
      </c>
      <c r="D26" s="8">
        <f t="shared" si="0"/>
        <v>0.79725715382966911</v>
      </c>
      <c r="E26" s="8">
        <f t="shared" si="1"/>
        <v>0.93472067913996626</v>
      </c>
      <c r="F26" s="8">
        <f t="shared" si="2"/>
        <v>4.9546188242856193</v>
      </c>
      <c r="G26" s="8">
        <f t="shared" si="3"/>
        <v>0.78539520099266991</v>
      </c>
      <c r="H26" s="8">
        <f t="shared" si="4"/>
        <v>1.1861952836999201E-2</v>
      </c>
      <c r="I26" s="10">
        <f t="shared" si="5"/>
        <v>4.0261374521419209E-2</v>
      </c>
    </row>
    <row r="27" spans="2:41" x14ac:dyDescent="0.25">
      <c r="B27" s="8">
        <v>7</v>
      </c>
      <c r="C27" s="9">
        <v>3.8882E-2</v>
      </c>
      <c r="D27" s="8">
        <f t="shared" si="0"/>
        <v>0.76172170998068878</v>
      </c>
      <c r="E27" s="8">
        <f t="shared" si="1"/>
        <v>0.91390971789156628</v>
      </c>
      <c r="F27" s="8">
        <f t="shared" si="2"/>
        <v>5.6059502023323953</v>
      </c>
      <c r="G27" s="8">
        <f t="shared" si="3"/>
        <v>0.7505371521854397</v>
      </c>
      <c r="H27" s="8">
        <f t="shared" si="4"/>
        <v>1.1184557795249073E-2</v>
      </c>
      <c r="I27" s="10">
        <f t="shared" si="5"/>
        <v>4.0995160841253722E-2</v>
      </c>
    </row>
    <row r="28" spans="2:41" x14ac:dyDescent="0.25">
      <c r="B28" s="8">
        <v>8</v>
      </c>
      <c r="C28" s="9">
        <v>4.0014000000000001E-2</v>
      </c>
      <c r="D28" s="8">
        <f t="shared" si="0"/>
        <v>0.72606771293577543</v>
      </c>
      <c r="E28" s="8">
        <f t="shared" si="1"/>
        <v>0.89116529866282623</v>
      </c>
      <c r="F28" s="8">
        <f t="shared" si="2"/>
        <v>6.2156892851265084</v>
      </c>
      <c r="G28" s="8">
        <f t="shared" si="3"/>
        <v>0.71634833522862951</v>
      </c>
      <c r="H28" s="8">
        <f t="shared" si="4"/>
        <v>9.7193777071459264E-3</v>
      </c>
      <c r="I28" s="10">
        <f t="shared" si="5"/>
        <v>4.1698591076139983E-2</v>
      </c>
    </row>
    <row r="29" spans="2:41" x14ac:dyDescent="0.25">
      <c r="B29" s="8">
        <v>9</v>
      </c>
      <c r="C29" s="9">
        <v>4.1124999999999995E-2</v>
      </c>
      <c r="D29" s="8">
        <f t="shared" si="0"/>
        <v>0.69064799424216217</v>
      </c>
      <c r="E29" s="8">
        <f t="shared" si="1"/>
        <v>0.86680469275479854</v>
      </c>
      <c r="F29" s="8">
        <f t="shared" si="2"/>
        <v>6.7864920463899239</v>
      </c>
      <c r="G29" s="8">
        <f t="shared" si="3"/>
        <v>0.68293345983499087</v>
      </c>
      <c r="H29" s="8">
        <f t="shared" si="4"/>
        <v>7.7145344071712918E-3</v>
      </c>
      <c r="I29" s="10">
        <f t="shared" si="5"/>
        <v>4.2373094170238067E-2</v>
      </c>
    </row>
    <row r="30" spans="2:41" x14ac:dyDescent="0.25">
      <c r="B30" s="8">
        <v>10</v>
      </c>
      <c r="C30" s="9">
        <v>4.2192999999999994E-2</v>
      </c>
      <c r="D30" s="8">
        <f t="shared" si="0"/>
        <v>0.65577994238278525</v>
      </c>
      <c r="E30" s="8">
        <f t="shared" si="1"/>
        <v>0.8411278001662621</v>
      </c>
      <c r="F30" s="8">
        <f t="shared" si="2"/>
        <v>7.3208448564031796</v>
      </c>
      <c r="G30" s="8">
        <f t="shared" si="3"/>
        <v>0.65037883092480842</v>
      </c>
      <c r="H30" s="8">
        <f t="shared" si="4"/>
        <v>5.4011114579768371E-3</v>
      </c>
      <c r="I30" s="10">
        <f t="shared" si="5"/>
        <v>4.3020026905681151E-2</v>
      </c>
    </row>
    <row r="31" spans="2:41" x14ac:dyDescent="0.25">
      <c r="B31" s="8">
        <v>11</v>
      </c>
      <c r="C31" s="9">
        <v>4.3202999999999998E-2</v>
      </c>
      <c r="D31" s="8">
        <f t="shared" si="0"/>
        <v>0.62174017412631166</v>
      </c>
      <c r="E31" s="8">
        <f t="shared" si="1"/>
        <v>0.81441496487109155</v>
      </c>
      <c r="F31" s="8">
        <f t="shared" si="2"/>
        <v>7.8210753124315708</v>
      </c>
      <c r="G31" s="8">
        <f t="shared" si="3"/>
        <v>0.61875402824661829</v>
      </c>
      <c r="H31" s="8">
        <f t="shared" si="4"/>
        <v>2.9861458796933693E-3</v>
      </c>
      <c r="I31" s="10">
        <f t="shared" si="5"/>
        <v>4.3640677711169452E-2</v>
      </c>
      <c r="L31" s="1" t="s">
        <v>14</v>
      </c>
    </row>
    <row r="32" spans="2:41" x14ac:dyDescent="0.25">
      <c r="B32" s="8">
        <v>12</v>
      </c>
      <c r="C32" s="9">
        <v>4.4145999999999998E-2</v>
      </c>
      <c r="D32" s="8">
        <f t="shared" si="0"/>
        <v>0.58875096181311193</v>
      </c>
      <c r="E32" s="8">
        <f t="shared" si="1"/>
        <v>0.78692553529280207</v>
      </c>
      <c r="F32" s="8">
        <f t="shared" si="2"/>
        <v>8.2893623775490237</v>
      </c>
      <c r="G32" s="8">
        <f t="shared" si="3"/>
        <v>0.58811354666058779</v>
      </c>
      <c r="H32" s="8">
        <f t="shared" si="4"/>
        <v>6.374151525241345E-4</v>
      </c>
      <c r="I32" s="10">
        <f t="shared" si="5"/>
        <v>4.4236270263379791E-2</v>
      </c>
      <c r="L32" t="s">
        <v>15</v>
      </c>
    </row>
    <row r="33" spans="2:12" x14ac:dyDescent="0.25">
      <c r="B33" s="8">
        <v>13</v>
      </c>
      <c r="C33" s="9">
        <v>4.5016E-2</v>
      </c>
      <c r="D33" s="8">
        <f t="shared" si="0"/>
        <v>0.55698999584339548</v>
      </c>
      <c r="E33" s="8">
        <f t="shared" si="1"/>
        <v>0.75889706548892344</v>
      </c>
      <c r="F33" s="8">
        <f t="shared" si="2"/>
        <v>8.7277458720235632</v>
      </c>
      <c r="G33" s="8">
        <f t="shared" si="3"/>
        <v>0.55849837525192536</v>
      </c>
      <c r="H33" s="8">
        <f t="shared" si="4"/>
        <v>-1.5083794085298807E-3</v>
      </c>
      <c r="I33" s="10">
        <f t="shared" si="5"/>
        <v>4.4807966892712943E-2</v>
      </c>
      <c r="L33" t="s">
        <v>16</v>
      </c>
    </row>
    <row r="34" spans="2:12" x14ac:dyDescent="0.25">
      <c r="B34" s="8">
        <v>14</v>
      </c>
      <c r="C34" s="9">
        <v>4.5811999999999999E-2</v>
      </c>
      <c r="D34" s="8">
        <f t="shared" si="0"/>
        <v>0.52657158117589575</v>
      </c>
      <c r="E34" s="8">
        <f t="shared" si="1"/>
        <v>0.7305450555723827</v>
      </c>
      <c r="F34" s="8">
        <f t="shared" si="2"/>
        <v>9.1381353586080483</v>
      </c>
      <c r="G34" s="8">
        <f t="shared" si="3"/>
        <v>0.52993749928905554</v>
      </c>
      <c r="H34" s="8">
        <f t="shared" si="4"/>
        <v>-3.3659181131597826E-3</v>
      </c>
      <c r="I34" s="10">
        <f t="shared" si="5"/>
        <v>4.5356871804248432E-2</v>
      </c>
      <c r="L34" t="s">
        <v>17</v>
      </c>
    </row>
    <row r="35" spans="2:12" x14ac:dyDescent="0.25">
      <c r="B35" s="8">
        <v>15</v>
      </c>
      <c r="C35" s="9">
        <v>4.6531999999999997E-2</v>
      </c>
      <c r="D35" s="8">
        <f t="shared" si="0"/>
        <v>0.49758941992092609</v>
      </c>
      <c r="E35" s="8">
        <f t="shared" si="1"/>
        <v>0.70206313575412593</v>
      </c>
      <c r="F35" s="8">
        <f t="shared" si="2"/>
        <v>9.5223184604398199</v>
      </c>
      <c r="G35" s="8">
        <f t="shared" si="3"/>
        <v>0.50244931396766623</v>
      </c>
      <c r="H35" s="8">
        <f t="shared" si="4"/>
        <v>-4.859894046740143E-3</v>
      </c>
      <c r="I35" s="10">
        <f t="shared" si="5"/>
        <v>4.5884034124162316E-2</v>
      </c>
      <c r="L35" t="s">
        <v>18</v>
      </c>
    </row>
    <row r="36" spans="2:12" x14ac:dyDescent="0.25">
      <c r="B36" s="8">
        <v>16</v>
      </c>
      <c r="C36" s="9">
        <v>4.718E-2</v>
      </c>
      <c r="D36" s="8">
        <f t="shared" si="0"/>
        <v>0.47006701938851742</v>
      </c>
      <c r="E36" s="8">
        <f t="shared" si="1"/>
        <v>0.67362360613195194</v>
      </c>
      <c r="F36" s="8">
        <f t="shared" si="2"/>
        <v>9.8819686477812869</v>
      </c>
      <c r="G36" s="8">
        <f t="shared" si="3"/>
        <v>0.47604294296803223</v>
      </c>
      <c r="H36" s="8">
        <f t="shared" si="4"/>
        <v>-5.9759235795148191E-3</v>
      </c>
      <c r="I36" s="10">
        <f t="shared" si="5"/>
        <v>4.6390450781285564E-2</v>
      </c>
      <c r="L36" t="s">
        <v>19</v>
      </c>
    </row>
    <row r="37" spans="2:12" x14ac:dyDescent="0.25">
      <c r="B37" s="8">
        <v>17</v>
      </c>
      <c r="C37" s="9">
        <v>4.7754999999999999E-2</v>
      </c>
      <c r="D37" s="8">
        <f t="shared" si="0"/>
        <v>0.44404250018211405</v>
      </c>
      <c r="E37" s="8">
        <f t="shared" si="1"/>
        <v>0.64537825319305364</v>
      </c>
      <c r="F37" s="8">
        <f t="shared" si="2"/>
        <v>10.218652527519948</v>
      </c>
      <c r="G37" s="8">
        <f t="shared" si="3"/>
        <v>0.45071945818720743</v>
      </c>
      <c r="H37" s="8">
        <f t="shared" si="4"/>
        <v>-6.6769580050933808E-3</v>
      </c>
      <c r="I37" s="10">
        <f t="shared" si="5"/>
        <v>4.6877069232932757E-2</v>
      </c>
    </row>
    <row r="38" spans="2:12" x14ac:dyDescent="0.25">
      <c r="B38" s="8">
        <v>18</v>
      </c>
      <c r="C38" s="9">
        <v>4.8261999999999999E-2</v>
      </c>
      <c r="D38" s="8">
        <f t="shared" si="0"/>
        <v>0.41948982853822436</v>
      </c>
      <c r="E38" s="8">
        <f t="shared" si="1"/>
        <v>0.61745937332513467</v>
      </c>
      <c r="F38" s="8">
        <f t="shared" si="2"/>
        <v>10.533836667180225</v>
      </c>
      <c r="G38" s="8">
        <f t="shared" si="3"/>
        <v>0.42647299967932578</v>
      </c>
      <c r="H38" s="8">
        <f t="shared" si="4"/>
        <v>-6.9831711411014186E-3</v>
      </c>
      <c r="I38" s="10">
        <f t="shared" si="5"/>
        <v>4.7344790043618377E-2</v>
      </c>
    </row>
    <row r="39" spans="2:12" x14ac:dyDescent="0.25">
      <c r="B39" s="8">
        <v>19</v>
      </c>
      <c r="C39" s="9">
        <v>4.8703000000000003E-2</v>
      </c>
      <c r="D39" s="8">
        <f t="shared" si="0"/>
        <v>0.39638988262414276</v>
      </c>
      <c r="E39" s="8">
        <f t="shared" si="1"/>
        <v>0.58998094297393389</v>
      </c>
      <c r="F39" s="8">
        <f t="shared" si="2"/>
        <v>10.828893983172005</v>
      </c>
      <c r="G39" s="8">
        <f t="shared" si="3"/>
        <v>0.40329179693391642</v>
      </c>
      <c r="H39" s="8">
        <f t="shared" si="4"/>
        <v>-6.9019143097736602E-3</v>
      </c>
      <c r="I39" s="10">
        <f t="shared" si="5"/>
        <v>4.7794469324790798E-2</v>
      </c>
    </row>
    <row r="40" spans="2:12" x14ac:dyDescent="0.25">
      <c r="B40" s="8">
        <v>20</v>
      </c>
      <c r="C40" s="9">
        <v>4.9082000000000001E-2</v>
      </c>
      <c r="D40" s="8">
        <f t="shared" si="0"/>
        <v>0.37469609309184931</v>
      </c>
      <c r="E40" s="8">
        <f t="shared" si="1"/>
        <v>0.56303988410147054</v>
      </c>
      <c r="F40" s="8">
        <f t="shared" si="2"/>
        <v>11.105109721102563</v>
      </c>
      <c r="G40" s="8">
        <f t="shared" si="3"/>
        <v>0.38115909422655225</v>
      </c>
      <c r="H40" s="8">
        <f t="shared" si="4"/>
        <v>-6.4630011347029392E-3</v>
      </c>
      <c r="I40" s="10">
        <f t="shared" si="5"/>
        <v>4.8226921043257862E-2</v>
      </c>
    </row>
    <row r="41" spans="2:12" x14ac:dyDescent="0.25">
      <c r="B41" s="8">
        <v>21</v>
      </c>
      <c r="C41" s="9">
        <v>4.9401E-2</v>
      </c>
      <c r="D41" s="8">
        <f t="shared" si="0"/>
        <v>0.35436741805084032</v>
      </c>
      <c r="E41" s="8">
        <f t="shared" si="1"/>
        <v>0.53671738205379227</v>
      </c>
      <c r="F41" s="8">
        <f t="shared" si="2"/>
        <v>11.363687054201636</v>
      </c>
      <c r="G41" s="8">
        <f t="shared" si="3"/>
        <v>0.36005398396477978</v>
      </c>
      <c r="H41" s="8">
        <f t="shared" si="4"/>
        <v>-5.6865659139394564E-3</v>
      </c>
      <c r="I41" s="10">
        <f t="shared" si="5"/>
        <v>4.8642919205545497E-2</v>
      </c>
    </row>
    <row r="42" spans="2:12" x14ac:dyDescent="0.25">
      <c r="B42" s="8">
        <v>22</v>
      </c>
      <c r="C42" s="9">
        <v>4.9665000000000001E-2</v>
      </c>
      <c r="D42" s="8">
        <f t="shared" si="0"/>
        <v>0.33533340609750978</v>
      </c>
      <c r="E42" s="8">
        <f t="shared" si="1"/>
        <v>0.51108022069029158</v>
      </c>
      <c r="F42" s="8">
        <f t="shared" si="2"/>
        <v>11.605752324245868</v>
      </c>
      <c r="G42" s="8">
        <f t="shared" si="3"/>
        <v>0.33995215279428298</v>
      </c>
      <c r="H42" s="8">
        <f t="shared" si="4"/>
        <v>-4.6187466967732016E-3</v>
      </c>
      <c r="I42" s="10">
        <f t="shared" si="5"/>
        <v>4.9043199925025101E-2</v>
      </c>
    </row>
    <row r="43" spans="2:12" x14ac:dyDescent="0.25">
      <c r="B43" s="8">
        <v>23</v>
      </c>
      <c r="C43" s="9">
        <v>4.9877000000000005E-2</v>
      </c>
      <c r="D43" s="8">
        <f t="shared" si="0"/>
        <v>0.31753380305549717</v>
      </c>
      <c r="E43" s="8">
        <f t="shared" si="1"/>
        <v>0.48618210657779259</v>
      </c>
      <c r="F43" s="8">
        <f t="shared" si="2"/>
        <v>11.832359947811764</v>
      </c>
      <c r="G43" s="8">
        <f t="shared" si="3"/>
        <v>0.32082654578721892</v>
      </c>
      <c r="H43" s="8">
        <f t="shared" si="4"/>
        <v>-3.2927427317217539E-3</v>
      </c>
      <c r="I43" s="10">
        <f t="shared" si="5"/>
        <v>4.9428463378260332E-2</v>
      </c>
    </row>
    <row r="44" spans="2:12" x14ac:dyDescent="0.25">
      <c r="B44" s="8">
        <v>24</v>
      </c>
      <c r="C44" s="9">
        <v>5.0041000000000002E-2</v>
      </c>
      <c r="D44" s="8">
        <f t="shared" si="0"/>
        <v>0.30089798257641581</v>
      </c>
      <c r="E44" s="8">
        <f t="shared" si="1"/>
        <v>0.46206496018259402</v>
      </c>
      <c r="F44" s="8">
        <f t="shared" si="2"/>
        <v>12.044497009228296</v>
      </c>
      <c r="G44" s="8">
        <f t="shared" si="3"/>
        <v>0.30264795436061132</v>
      </c>
      <c r="H44" s="8">
        <f t="shared" si="4"/>
        <v>-1.7499717841955031E-3</v>
      </c>
      <c r="I44" s="10">
        <f t="shared" si="5"/>
        <v>4.9799375656663647E-2</v>
      </c>
    </row>
    <row r="45" spans="2:12" x14ac:dyDescent="0.25">
      <c r="B45" s="8">
        <v>25</v>
      </c>
      <c r="C45" s="9">
        <v>5.0159000000000002E-2</v>
      </c>
      <c r="D45" s="8">
        <f t="shared" si="0"/>
        <v>0.28536820077396918</v>
      </c>
      <c r="E45" s="8">
        <f t="shared" si="1"/>
        <v>0.4387601573118885</v>
      </c>
      <c r="F45" s="8">
        <f t="shared" si="2"/>
        <v>12.243087560235749</v>
      </c>
      <c r="G45" s="8">
        <f t="shared" si="3"/>
        <v>0.28538553371438097</v>
      </c>
      <c r="H45" s="8">
        <f t="shared" si="4"/>
        <v>-1.7332940411785014E-5</v>
      </c>
      <c r="I45" s="10">
        <f t="shared" si="5"/>
        <v>5.0156570519210686E-2</v>
      </c>
    </row>
    <row r="46" spans="2:12" x14ac:dyDescent="0.25">
      <c r="B46" s="8">
        <v>26</v>
      </c>
      <c r="C46" s="9">
        <v>5.0233999999999994E-2</v>
      </c>
      <c r="D46" s="8">
        <f t="shared" si="0"/>
        <v>0.27087874328151512</v>
      </c>
      <c r="E46" s="8">
        <f t="shared" si="1"/>
        <v>0.41628970859876818</v>
      </c>
      <c r="F46" s="8">
        <f t="shared" si="2"/>
        <v>12.428996645079756</v>
      </c>
      <c r="G46" s="8">
        <f t="shared" si="3"/>
        <v>0.26900725557598487</v>
      </c>
      <c r="H46" s="8">
        <f t="shared" si="4"/>
        <v>1.8714877055302503E-3</v>
      </c>
      <c r="I46" s="10">
        <f t="shared" si="5"/>
        <v>5.0500651051639069E-2</v>
      </c>
    </row>
    <row r="47" spans="2:12" x14ac:dyDescent="0.25">
      <c r="B47" s="8">
        <v>27</v>
      </c>
      <c r="C47" s="9">
        <v>5.0270999999999996E-2</v>
      </c>
      <c r="D47" s="8">
        <f t="shared" si="0"/>
        <v>0.25735032242973821</v>
      </c>
      <c r="E47" s="8">
        <f t="shared" si="1"/>
        <v>0.39466736864647162</v>
      </c>
      <c r="F47" s="8">
        <f t="shared" si="2"/>
        <v>12.60303406857348</v>
      </c>
      <c r="G47" s="8">
        <f t="shared" si="3"/>
        <v>0.2534803019255143</v>
      </c>
      <c r="H47" s="8">
        <f t="shared" si="4"/>
        <v>3.8700205042239144E-3</v>
      </c>
      <c r="I47" s="10">
        <f t="shared" si="5"/>
        <v>5.0832191237255048E-2</v>
      </c>
    </row>
    <row r="48" spans="2:12" x14ac:dyDescent="0.25">
      <c r="B48" s="8">
        <v>28</v>
      </c>
      <c r="C48" s="9">
        <v>5.0270999999999996E-2</v>
      </c>
      <c r="D48" s="8">
        <f t="shared" si="0"/>
        <v>0.24473286750529402</v>
      </c>
      <c r="E48" s="8">
        <f t="shared" si="1"/>
        <v>0.37389966961232368</v>
      </c>
      <c r="F48" s="8">
        <f t="shared" si="2"/>
        <v>12.765957923541347</v>
      </c>
      <c r="G48" s="8">
        <f t="shared" si="3"/>
        <v>0.23877140517969761</v>
      </c>
      <c r="H48" s="8">
        <f t="shared" si="4"/>
        <v>5.9614623255964116E-3</v>
      </c>
      <c r="I48" s="10">
        <f t="shared" si="5"/>
        <v>5.1151737444184393E-2</v>
      </c>
    </row>
    <row r="49" spans="2:9" x14ac:dyDescent="0.25">
      <c r="B49" s="8">
        <v>29</v>
      </c>
      <c r="C49" s="9">
        <v>5.0237999999999998E-2</v>
      </c>
      <c r="D49" s="8">
        <f t="shared" si="0"/>
        <v>0.23295685831652463</v>
      </c>
      <c r="E49" s="8">
        <f t="shared" si="1"/>
        <v>0.35398687658968425</v>
      </c>
      <c r="F49" s="8">
        <f t="shared" si="2"/>
        <v>12.918477893009566</v>
      </c>
      <c r="G49" s="8">
        <f t="shared" si="3"/>
        <v>0.22484714005885231</v>
      </c>
      <c r="H49" s="8">
        <f t="shared" si="4"/>
        <v>8.1097182576723159E-3</v>
      </c>
      <c r="I49" s="10">
        <f t="shared" si="5"/>
        <v>5.145980983363483E-2</v>
      </c>
    </row>
    <row r="50" spans="2:9" x14ac:dyDescent="0.25">
      <c r="B50" s="8">
        <v>30</v>
      </c>
      <c r="C50" s="9">
        <v>5.0174000000000003E-2</v>
      </c>
      <c r="D50" s="8">
        <f t="shared" si="0"/>
        <v>0.2219684553997309</v>
      </c>
      <c r="E50" s="8">
        <f t="shared" si="1"/>
        <v>0.33492386420789688</v>
      </c>
      <c r="F50" s="8">
        <f t="shared" si="2"/>
        <v>13.061258341527525</v>
      </c>
      <c r="G50" s="8">
        <f t="shared" si="3"/>
        <v>0.21167417206646957</v>
      </c>
      <c r="H50" s="8">
        <f t="shared" si="4"/>
        <v>1.0294283333261323E-2</v>
      </c>
      <c r="I50" s="10">
        <f t="shared" si="5"/>
        <v>5.1756903693481654E-2</v>
      </c>
    </row>
  </sheetData>
  <mergeCells count="1">
    <mergeCell ref="B19:C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2026-01-05T10:30:47Z</dcterms:created>
  <dcterms:modified xsi:type="dcterms:W3CDTF">2026-01-05T14:33:10Z</dcterms:modified>
</cp:coreProperties>
</file>